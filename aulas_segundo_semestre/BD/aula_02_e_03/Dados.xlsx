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tor Parisato\Desktop\Aulas Segundo Semestre\BD\aula_02\"/>
    </mc:Choice>
  </mc:AlternateContent>
  <xr:revisionPtr revIDLastSave="0" documentId="13_ncr:1_{20B8EBCA-049E-4C10-B3E3-5C207A59A9E6}" xr6:coauthVersionLast="47" xr6:coauthVersionMax="47" xr10:uidLastSave="{00000000-0000-0000-0000-000000000000}"/>
  <bookViews>
    <workbookView xWindow="-96" yWindow="0" windowWidth="11712" windowHeight="12336" firstSheet="2" activeTab="3" xr2:uid="{F377C34D-BCF0-48BF-9780-04B8030474CD}"/>
  </bookViews>
  <sheets>
    <sheet name="Produtos" sheetId="1" r:id="rId1"/>
    <sheet name="Compras" sheetId="3" r:id="rId2"/>
    <sheet name="Fornecedor" sheetId="2" r:id="rId3"/>
    <sheet name="Dicionário de Dado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1" i="3" l="1"/>
  <c r="G22" i="3"/>
  <c r="G23" i="3"/>
  <c r="G24" i="3"/>
  <c r="G25" i="3"/>
  <c r="G26" i="3"/>
  <c r="G27" i="3"/>
  <c r="G28" i="3"/>
  <c r="G29" i="3"/>
  <c r="G20" i="3"/>
  <c r="G19" i="3"/>
  <c r="G18" i="3"/>
  <c r="G17" i="3"/>
  <c r="G16" i="3"/>
  <c r="G15" i="3"/>
  <c r="G14" i="3"/>
  <c r="G3" i="3"/>
  <c r="G4" i="3"/>
  <c r="G5" i="3"/>
  <c r="G6" i="3"/>
  <c r="G7" i="3"/>
  <c r="G8" i="3"/>
  <c r="G9" i="3"/>
  <c r="G10" i="3"/>
  <c r="G11" i="3"/>
  <c r="G12" i="3"/>
  <c r="G13" i="3"/>
  <c r="G2" i="3"/>
  <c r="F2" i="1"/>
  <c r="F3" i="1"/>
</calcChain>
</file>

<file path=xl/sharedStrings.xml><?xml version="1.0" encoding="utf-8"?>
<sst xmlns="http://schemas.openxmlformats.org/spreadsheetml/2006/main" count="165" uniqueCount="89">
  <si>
    <t>id</t>
  </si>
  <si>
    <t>nome</t>
  </si>
  <si>
    <t>descrição</t>
  </si>
  <si>
    <t>peso</t>
  </si>
  <si>
    <t>volume</t>
  </si>
  <si>
    <t>valor</t>
  </si>
  <si>
    <t>quantidade</t>
  </si>
  <si>
    <t>lã</t>
  </si>
  <si>
    <t>martelo</t>
  </si>
  <si>
    <t>alicate</t>
  </si>
  <si>
    <t>sal</t>
  </si>
  <si>
    <t>pimenta</t>
  </si>
  <si>
    <t>páprica</t>
  </si>
  <si>
    <t>chimichurri</t>
  </si>
  <si>
    <t>café</t>
  </si>
  <si>
    <t>lã de ovelha</t>
  </si>
  <si>
    <t>lã de alpaca</t>
  </si>
  <si>
    <t>martelo de orelha</t>
  </si>
  <si>
    <t>martelo sem orelha</t>
  </si>
  <si>
    <t>universal</t>
  </si>
  <si>
    <t>alicate de corte</t>
  </si>
  <si>
    <t>alicate de bico</t>
  </si>
  <si>
    <t>sal marinho</t>
  </si>
  <si>
    <t>pimenta preta</t>
  </si>
  <si>
    <t>pimenta branca</t>
  </si>
  <si>
    <t>páprica doce</t>
  </si>
  <si>
    <t>páprica picante</t>
  </si>
  <si>
    <t>páprica defumada</t>
  </si>
  <si>
    <t>mistura indiana</t>
  </si>
  <si>
    <t>café arábico</t>
  </si>
  <si>
    <t>cidade</t>
  </si>
  <si>
    <t>estado</t>
  </si>
  <si>
    <t>país</t>
  </si>
  <si>
    <t>referência</t>
  </si>
  <si>
    <t>observação</t>
  </si>
  <si>
    <t>endereço</t>
  </si>
  <si>
    <t>Socrates</t>
  </si>
  <si>
    <t>Leônidas</t>
  </si>
  <si>
    <t>Atenas</t>
  </si>
  <si>
    <t>Grécia</t>
  </si>
  <si>
    <t>Panteão</t>
  </si>
  <si>
    <t>Fornecedor de lã</t>
  </si>
  <si>
    <t>Porto</t>
  </si>
  <si>
    <t>Sal e especiarias</t>
  </si>
  <si>
    <t>Pitágoras</t>
  </si>
  <si>
    <t>Hefesto</t>
  </si>
  <si>
    <t>Sparta</t>
  </si>
  <si>
    <t>Fonte</t>
  </si>
  <si>
    <t>Ferreiro do baum</t>
  </si>
  <si>
    <t>Olímpia</t>
  </si>
  <si>
    <t>Estádio</t>
  </si>
  <si>
    <t>Especiarias</t>
  </si>
  <si>
    <t>id_produto</t>
  </si>
  <si>
    <t>id_fornecedor</t>
  </si>
  <si>
    <t>data</t>
  </si>
  <si>
    <t>custo_unitario</t>
  </si>
  <si>
    <t>total</t>
  </si>
  <si>
    <t>entidade</t>
  </si>
  <si>
    <t>atributo</t>
  </si>
  <si>
    <t>tipo</t>
  </si>
  <si>
    <t>produto</t>
  </si>
  <si>
    <t>tamanho</t>
  </si>
  <si>
    <t>int</t>
  </si>
  <si>
    <t>varchar</t>
  </si>
  <si>
    <t>decimal</t>
  </si>
  <si>
    <t>chave primária</t>
  </si>
  <si>
    <t>nome do produto</t>
  </si>
  <si>
    <t>descrição do produto</t>
  </si>
  <si>
    <t>peso em KG</t>
  </si>
  <si>
    <t>volume em litros</t>
  </si>
  <si>
    <t>valor em reais</t>
  </si>
  <si>
    <t>numeros inteiros</t>
  </si>
  <si>
    <t>fornecedor</t>
  </si>
  <si>
    <t>compras</t>
  </si>
  <si>
    <t>outros dados do fornecedor</t>
  </si>
  <si>
    <t>referencia</t>
  </si>
  <si>
    <t>custo_unitário</t>
  </si>
  <si>
    <t>Date</t>
  </si>
  <si>
    <t>chave estrangeira, referencia: Produtos(id)</t>
  </si>
  <si>
    <t>chave estrangeira, referencia: Fornecedor(id)</t>
  </si>
  <si>
    <t>data da compra</t>
  </si>
  <si>
    <t>quantidade comprada</t>
  </si>
  <si>
    <t>custo unitário da mercadoria</t>
  </si>
  <si>
    <t>atributo derivado do cálculo da quantidade vezes custo_unitário</t>
  </si>
  <si>
    <t>endereço cidade</t>
  </si>
  <si>
    <t>endereço estado</t>
  </si>
  <si>
    <t>endereço país</t>
  </si>
  <si>
    <t>endereço referencia</t>
  </si>
  <si>
    <t>nome do fornecedor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</si>
</sst>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473DA-A489-411C-BFD3-533F8C37F1F5}">
  <dimension ref="A1:G16"/>
  <sheetViews>
    <sheetView workbookViewId="0">
      <selection activeCell="F3" sqref="F3"/>
    </sheetView>
  </sheetViews>
  <sheetFormatPr defaultRowHeight="14.4" x14ac:dyDescent="0.3"/>
  <cols>
    <col min="2" max="2" width="10.21875" bestFit="1" customWidth="1"/>
    <col min="3" max="3" width="16.5546875" bestFit="1" customWidth="1"/>
    <col min="7" max="7" width="10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15</v>
      </c>
      <c r="D2">
        <v>1</v>
      </c>
      <c r="E2">
        <v>30</v>
      </c>
      <c r="F2">
        <f>(70+550)/2</f>
        <v>310</v>
      </c>
      <c r="G2" s="1"/>
    </row>
    <row r="3" spans="1:7" x14ac:dyDescent="0.3">
      <c r="A3">
        <v>2</v>
      </c>
      <c r="B3" t="s">
        <v>7</v>
      </c>
      <c r="C3" t="s">
        <v>16</v>
      </c>
      <c r="D3">
        <v>1</v>
      </c>
      <c r="E3">
        <v>30</v>
      </c>
      <c r="F3">
        <f>(1200+2400)/2</f>
        <v>1800</v>
      </c>
    </row>
    <row r="4" spans="1:7" x14ac:dyDescent="0.3">
      <c r="A4">
        <v>3</v>
      </c>
      <c r="B4" t="s">
        <v>8</v>
      </c>
      <c r="C4" t="s">
        <v>17</v>
      </c>
      <c r="D4">
        <v>1</v>
      </c>
      <c r="E4">
        <v>2</v>
      </c>
      <c r="F4">
        <v>50</v>
      </c>
    </row>
    <row r="5" spans="1:7" x14ac:dyDescent="0.3">
      <c r="A5">
        <v>4</v>
      </c>
      <c r="B5" t="s">
        <v>8</v>
      </c>
      <c r="C5" t="s">
        <v>18</v>
      </c>
      <c r="D5">
        <v>1</v>
      </c>
      <c r="E5">
        <v>2</v>
      </c>
      <c r="F5">
        <v>50</v>
      </c>
    </row>
    <row r="6" spans="1:7" x14ac:dyDescent="0.3">
      <c r="A6">
        <v>5</v>
      </c>
      <c r="B6" t="s">
        <v>9</v>
      </c>
      <c r="C6" t="s">
        <v>19</v>
      </c>
      <c r="D6">
        <v>0.4</v>
      </c>
      <c r="E6">
        <v>0.1</v>
      </c>
      <c r="F6">
        <v>40</v>
      </c>
    </row>
    <row r="7" spans="1:7" x14ac:dyDescent="0.3">
      <c r="A7">
        <v>6</v>
      </c>
      <c r="B7" t="s">
        <v>9</v>
      </c>
      <c r="C7" t="s">
        <v>20</v>
      </c>
      <c r="D7">
        <v>0.25</v>
      </c>
      <c r="E7">
        <v>0.1</v>
      </c>
      <c r="F7">
        <v>30</v>
      </c>
    </row>
    <row r="8" spans="1:7" x14ac:dyDescent="0.3">
      <c r="A8">
        <v>7</v>
      </c>
      <c r="B8" t="s">
        <v>9</v>
      </c>
      <c r="C8" t="s">
        <v>21</v>
      </c>
      <c r="D8">
        <v>0.25</v>
      </c>
      <c r="E8">
        <v>0.1</v>
      </c>
      <c r="F8">
        <v>30</v>
      </c>
    </row>
    <row r="9" spans="1:7" x14ac:dyDescent="0.3">
      <c r="A9">
        <v>8</v>
      </c>
      <c r="B9" t="s">
        <v>10</v>
      </c>
      <c r="C9" t="s">
        <v>22</v>
      </c>
      <c r="D9">
        <v>1</v>
      </c>
      <c r="E9">
        <v>0.72499999999999998</v>
      </c>
      <c r="F9">
        <v>4</v>
      </c>
    </row>
    <row r="10" spans="1:7" x14ac:dyDescent="0.3">
      <c r="A10">
        <v>9</v>
      </c>
      <c r="B10" t="s">
        <v>11</v>
      </c>
      <c r="C10" t="s">
        <v>23</v>
      </c>
      <c r="D10">
        <v>1</v>
      </c>
      <c r="E10">
        <v>2</v>
      </c>
      <c r="F10">
        <v>25.5</v>
      </c>
    </row>
    <row r="11" spans="1:7" x14ac:dyDescent="0.3">
      <c r="A11">
        <v>10</v>
      </c>
      <c r="B11" t="s">
        <v>11</v>
      </c>
      <c r="C11" t="s">
        <v>24</v>
      </c>
      <c r="D11">
        <v>1</v>
      </c>
      <c r="E11">
        <v>2</v>
      </c>
      <c r="F11">
        <v>100</v>
      </c>
    </row>
    <row r="12" spans="1:7" x14ac:dyDescent="0.3">
      <c r="A12">
        <v>11</v>
      </c>
      <c r="B12" t="s">
        <v>12</v>
      </c>
      <c r="C12" t="s">
        <v>25</v>
      </c>
      <c r="D12">
        <v>1</v>
      </c>
      <c r="E12">
        <v>2.5</v>
      </c>
      <c r="F12">
        <v>16</v>
      </c>
    </row>
    <row r="13" spans="1:7" x14ac:dyDescent="0.3">
      <c r="A13">
        <v>12</v>
      </c>
      <c r="B13" t="s">
        <v>12</v>
      </c>
      <c r="C13" t="s">
        <v>26</v>
      </c>
      <c r="D13">
        <v>1</v>
      </c>
      <c r="E13">
        <v>2.5</v>
      </c>
      <c r="F13">
        <v>20</v>
      </c>
    </row>
    <row r="14" spans="1:7" x14ac:dyDescent="0.3">
      <c r="A14">
        <v>13</v>
      </c>
      <c r="B14" t="s">
        <v>12</v>
      </c>
      <c r="C14" t="s">
        <v>27</v>
      </c>
      <c r="D14">
        <v>1</v>
      </c>
      <c r="E14">
        <v>2.5</v>
      </c>
      <c r="F14">
        <v>35</v>
      </c>
    </row>
    <row r="15" spans="1:7" x14ac:dyDescent="0.3">
      <c r="A15">
        <v>14</v>
      </c>
      <c r="B15" t="s">
        <v>13</v>
      </c>
      <c r="C15" t="s">
        <v>28</v>
      </c>
      <c r="D15">
        <v>1</v>
      </c>
      <c r="E15">
        <v>2.5</v>
      </c>
      <c r="F15">
        <v>20</v>
      </c>
    </row>
    <row r="16" spans="1:7" x14ac:dyDescent="0.3">
      <c r="A16">
        <v>15</v>
      </c>
      <c r="B16" t="s">
        <v>14</v>
      </c>
      <c r="C16" t="s">
        <v>29</v>
      </c>
      <c r="D16">
        <v>1</v>
      </c>
      <c r="E16">
        <v>2.5</v>
      </c>
      <c r="F16">
        <v>80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D8CD4-3F0D-4D41-A724-9D17F66A03E8}">
  <dimension ref="A1:G29"/>
  <sheetViews>
    <sheetView workbookViewId="0">
      <selection activeCell="G19" sqref="G19"/>
    </sheetView>
  </sheetViews>
  <sheetFormatPr defaultRowHeight="14.4" x14ac:dyDescent="0.3"/>
  <cols>
    <col min="2" max="2" width="9.44140625" bestFit="1" customWidth="1"/>
    <col min="3" max="3" width="12.109375" bestFit="1" customWidth="1"/>
    <col min="4" max="4" width="10.33203125" bestFit="1" customWidth="1"/>
    <col min="5" max="5" width="10" bestFit="1" customWidth="1"/>
    <col min="6" max="6" width="12.33203125" bestFit="1" customWidth="1"/>
  </cols>
  <sheetData>
    <row r="1" spans="1:7" x14ac:dyDescent="0.3">
      <c r="A1" t="s">
        <v>0</v>
      </c>
      <c r="B1" t="s">
        <v>52</v>
      </c>
      <c r="C1" t="s">
        <v>53</v>
      </c>
      <c r="D1" t="s">
        <v>54</v>
      </c>
      <c r="E1" t="s">
        <v>6</v>
      </c>
      <c r="F1" t="s">
        <v>55</v>
      </c>
      <c r="G1" t="s">
        <v>56</v>
      </c>
    </row>
    <row r="2" spans="1:7" x14ac:dyDescent="0.3">
      <c r="A2">
        <v>1</v>
      </c>
      <c r="B2">
        <v>1</v>
      </c>
      <c r="C2">
        <v>1</v>
      </c>
      <c r="D2" s="2">
        <v>46235</v>
      </c>
      <c r="E2">
        <v>50</v>
      </c>
      <c r="F2">
        <v>100</v>
      </c>
      <c r="G2">
        <f>E2*F2</f>
        <v>5000</v>
      </c>
    </row>
    <row r="3" spans="1:7" x14ac:dyDescent="0.3">
      <c r="A3">
        <v>2</v>
      </c>
      <c r="B3">
        <v>3</v>
      </c>
      <c r="C3">
        <v>3</v>
      </c>
      <c r="D3" s="2">
        <v>46235</v>
      </c>
      <c r="E3">
        <v>10</v>
      </c>
      <c r="F3">
        <v>25</v>
      </c>
      <c r="G3">
        <f t="shared" ref="G3:G29" si="0">E3*F3</f>
        <v>250</v>
      </c>
    </row>
    <row r="4" spans="1:7" x14ac:dyDescent="0.3">
      <c r="A4">
        <v>3</v>
      </c>
      <c r="B4">
        <v>4</v>
      </c>
      <c r="C4">
        <v>3</v>
      </c>
      <c r="D4" s="2">
        <v>46235</v>
      </c>
      <c r="E4">
        <v>5</v>
      </c>
      <c r="F4">
        <v>20</v>
      </c>
      <c r="G4">
        <f t="shared" si="0"/>
        <v>100</v>
      </c>
    </row>
    <row r="5" spans="1:7" x14ac:dyDescent="0.3">
      <c r="A5">
        <v>4</v>
      </c>
      <c r="B5">
        <v>5</v>
      </c>
      <c r="C5">
        <v>3</v>
      </c>
      <c r="D5" s="2">
        <v>46235</v>
      </c>
      <c r="E5">
        <v>10</v>
      </c>
      <c r="F5">
        <v>20</v>
      </c>
      <c r="G5">
        <f t="shared" si="0"/>
        <v>200</v>
      </c>
    </row>
    <row r="6" spans="1:7" x14ac:dyDescent="0.3">
      <c r="A6">
        <v>5</v>
      </c>
      <c r="B6">
        <v>6</v>
      </c>
      <c r="C6">
        <v>3</v>
      </c>
      <c r="D6" s="2">
        <v>46235</v>
      </c>
      <c r="E6">
        <v>5</v>
      </c>
      <c r="F6">
        <v>15</v>
      </c>
      <c r="G6">
        <f t="shared" si="0"/>
        <v>75</v>
      </c>
    </row>
    <row r="7" spans="1:7" x14ac:dyDescent="0.3">
      <c r="A7">
        <v>6</v>
      </c>
      <c r="B7">
        <v>7</v>
      </c>
      <c r="C7">
        <v>3</v>
      </c>
      <c r="D7" s="2">
        <v>46235</v>
      </c>
      <c r="E7">
        <v>5</v>
      </c>
      <c r="F7">
        <v>15</v>
      </c>
      <c r="G7">
        <f t="shared" si="0"/>
        <v>75</v>
      </c>
    </row>
    <row r="8" spans="1:7" x14ac:dyDescent="0.3">
      <c r="A8">
        <v>7</v>
      </c>
      <c r="B8">
        <v>8</v>
      </c>
      <c r="C8">
        <v>2</v>
      </c>
      <c r="D8" s="2">
        <v>46235</v>
      </c>
      <c r="E8">
        <v>10</v>
      </c>
      <c r="F8">
        <v>2</v>
      </c>
      <c r="G8">
        <f t="shared" si="0"/>
        <v>20</v>
      </c>
    </row>
    <row r="9" spans="1:7" x14ac:dyDescent="0.3">
      <c r="A9">
        <v>8</v>
      </c>
      <c r="B9">
        <v>11</v>
      </c>
      <c r="C9">
        <v>2</v>
      </c>
      <c r="D9" s="2">
        <v>46235</v>
      </c>
      <c r="E9">
        <v>2</v>
      </c>
      <c r="F9">
        <v>10</v>
      </c>
      <c r="G9">
        <f t="shared" si="0"/>
        <v>20</v>
      </c>
    </row>
    <row r="10" spans="1:7" x14ac:dyDescent="0.3">
      <c r="A10">
        <v>9</v>
      </c>
      <c r="B10">
        <v>12</v>
      </c>
      <c r="C10">
        <v>2</v>
      </c>
      <c r="D10" s="2">
        <v>46235</v>
      </c>
      <c r="E10">
        <v>2</v>
      </c>
      <c r="F10">
        <v>12</v>
      </c>
      <c r="G10">
        <f t="shared" si="0"/>
        <v>24</v>
      </c>
    </row>
    <row r="11" spans="1:7" x14ac:dyDescent="0.3">
      <c r="A11">
        <v>10</v>
      </c>
      <c r="B11">
        <v>13</v>
      </c>
      <c r="C11">
        <v>2</v>
      </c>
      <c r="D11" s="2">
        <v>46235</v>
      </c>
      <c r="E11">
        <v>2</v>
      </c>
      <c r="F11">
        <v>15</v>
      </c>
      <c r="G11">
        <f t="shared" si="0"/>
        <v>30</v>
      </c>
    </row>
    <row r="12" spans="1:7" x14ac:dyDescent="0.3">
      <c r="A12">
        <v>11</v>
      </c>
      <c r="B12">
        <v>9</v>
      </c>
      <c r="C12">
        <v>4</v>
      </c>
      <c r="D12" s="2">
        <v>46235</v>
      </c>
      <c r="E12">
        <v>5</v>
      </c>
      <c r="F12">
        <v>15</v>
      </c>
      <c r="G12">
        <f t="shared" si="0"/>
        <v>75</v>
      </c>
    </row>
    <row r="13" spans="1:7" x14ac:dyDescent="0.3">
      <c r="A13">
        <v>12</v>
      </c>
      <c r="B13">
        <v>10</v>
      </c>
      <c r="C13">
        <v>4</v>
      </c>
      <c r="D13" s="2">
        <v>46235</v>
      </c>
      <c r="E13">
        <v>2</v>
      </c>
      <c r="F13">
        <v>50</v>
      </c>
      <c r="G13">
        <f t="shared" si="0"/>
        <v>100</v>
      </c>
    </row>
    <row r="14" spans="1:7" x14ac:dyDescent="0.3">
      <c r="A14">
        <v>13</v>
      </c>
      <c r="B14">
        <v>14</v>
      </c>
      <c r="C14">
        <v>4</v>
      </c>
      <c r="D14" s="2">
        <v>46235</v>
      </c>
      <c r="E14">
        <v>2</v>
      </c>
      <c r="F14">
        <v>8</v>
      </c>
      <c r="G14">
        <f t="shared" si="0"/>
        <v>16</v>
      </c>
    </row>
    <row r="15" spans="1:7" x14ac:dyDescent="0.3">
      <c r="A15">
        <v>14</v>
      </c>
      <c r="B15">
        <v>15</v>
      </c>
      <c r="C15">
        <v>4</v>
      </c>
      <c r="D15" s="2">
        <v>46235</v>
      </c>
      <c r="E15">
        <v>10</v>
      </c>
      <c r="F15">
        <v>40</v>
      </c>
      <c r="G15">
        <f t="shared" si="0"/>
        <v>400</v>
      </c>
    </row>
    <row r="16" spans="1:7" x14ac:dyDescent="0.3">
      <c r="A16">
        <v>15</v>
      </c>
      <c r="B16">
        <v>2</v>
      </c>
      <c r="C16">
        <v>1</v>
      </c>
      <c r="D16" s="2">
        <v>46245</v>
      </c>
      <c r="E16">
        <v>10</v>
      </c>
      <c r="F16">
        <v>1800</v>
      </c>
      <c r="G16">
        <f t="shared" si="0"/>
        <v>18000</v>
      </c>
    </row>
    <row r="17" spans="1:7" x14ac:dyDescent="0.3">
      <c r="A17">
        <v>16</v>
      </c>
      <c r="B17">
        <v>2</v>
      </c>
      <c r="C17">
        <v>1</v>
      </c>
      <c r="D17" s="2">
        <v>46245</v>
      </c>
      <c r="E17">
        <v>10</v>
      </c>
      <c r="F17">
        <v>1800</v>
      </c>
      <c r="G17">
        <f t="shared" si="0"/>
        <v>18000</v>
      </c>
    </row>
    <row r="18" spans="1:7" x14ac:dyDescent="0.3">
      <c r="A18">
        <v>17</v>
      </c>
      <c r="B18">
        <v>2</v>
      </c>
      <c r="C18">
        <v>1</v>
      </c>
      <c r="D18" s="2">
        <v>46245</v>
      </c>
      <c r="E18">
        <v>20</v>
      </c>
      <c r="F18">
        <v>1800</v>
      </c>
      <c r="G18">
        <f t="shared" si="0"/>
        <v>36000</v>
      </c>
    </row>
    <row r="19" spans="1:7" x14ac:dyDescent="0.3">
      <c r="A19">
        <v>18</v>
      </c>
      <c r="B19">
        <v>14</v>
      </c>
      <c r="C19">
        <v>4</v>
      </c>
      <c r="D19" s="2">
        <v>46245</v>
      </c>
      <c r="E19">
        <v>5</v>
      </c>
      <c r="F19">
        <v>20</v>
      </c>
      <c r="G19" s="1">
        <f t="shared" si="0"/>
        <v>100</v>
      </c>
    </row>
    <row r="20" spans="1:7" x14ac:dyDescent="0.3">
      <c r="A20">
        <v>19</v>
      </c>
      <c r="B20">
        <v>14</v>
      </c>
      <c r="C20">
        <v>4</v>
      </c>
      <c r="D20" s="2">
        <v>46245</v>
      </c>
      <c r="E20">
        <v>5</v>
      </c>
      <c r="F20">
        <v>20</v>
      </c>
      <c r="G20">
        <f t="shared" si="0"/>
        <v>100</v>
      </c>
    </row>
    <row r="21" spans="1:7" x14ac:dyDescent="0.3">
      <c r="A21">
        <v>20</v>
      </c>
      <c r="B21">
        <v>2</v>
      </c>
      <c r="C21">
        <v>1</v>
      </c>
      <c r="D21" s="2">
        <v>46245</v>
      </c>
      <c r="E21">
        <v>30</v>
      </c>
      <c r="F21">
        <v>1800</v>
      </c>
      <c r="G21">
        <f t="shared" si="0"/>
        <v>54000</v>
      </c>
    </row>
    <row r="22" spans="1:7" x14ac:dyDescent="0.3">
      <c r="A22">
        <v>21</v>
      </c>
      <c r="B22">
        <v>14</v>
      </c>
      <c r="C22">
        <v>2</v>
      </c>
      <c r="D22" s="2">
        <v>46245</v>
      </c>
      <c r="E22">
        <v>9</v>
      </c>
      <c r="F22">
        <v>20</v>
      </c>
      <c r="G22">
        <f t="shared" si="0"/>
        <v>180</v>
      </c>
    </row>
    <row r="23" spans="1:7" x14ac:dyDescent="0.3">
      <c r="A23">
        <v>22</v>
      </c>
      <c r="B23">
        <v>14</v>
      </c>
      <c r="C23">
        <v>2</v>
      </c>
      <c r="D23" s="2">
        <v>46245</v>
      </c>
      <c r="E23">
        <v>7</v>
      </c>
      <c r="F23">
        <v>20</v>
      </c>
      <c r="G23">
        <f t="shared" si="0"/>
        <v>140</v>
      </c>
    </row>
    <row r="24" spans="1:7" x14ac:dyDescent="0.3">
      <c r="A24">
        <v>23</v>
      </c>
      <c r="B24">
        <v>15</v>
      </c>
      <c r="C24">
        <v>4</v>
      </c>
      <c r="D24" s="2">
        <v>46245</v>
      </c>
      <c r="E24">
        <v>100</v>
      </c>
      <c r="F24">
        <v>80</v>
      </c>
      <c r="G24">
        <f t="shared" si="0"/>
        <v>8000</v>
      </c>
    </row>
    <row r="25" spans="1:7" x14ac:dyDescent="0.3">
      <c r="A25">
        <v>24</v>
      </c>
      <c r="B25">
        <v>10</v>
      </c>
      <c r="C25">
        <v>2</v>
      </c>
      <c r="D25" s="2">
        <v>46245</v>
      </c>
      <c r="E25">
        <v>5</v>
      </c>
      <c r="F25">
        <v>100</v>
      </c>
      <c r="G25">
        <f t="shared" si="0"/>
        <v>500</v>
      </c>
    </row>
    <row r="26" spans="1:7" x14ac:dyDescent="0.3">
      <c r="A26">
        <v>25</v>
      </c>
      <c r="B26">
        <v>9</v>
      </c>
      <c r="C26">
        <v>2</v>
      </c>
      <c r="D26" s="2">
        <v>46245</v>
      </c>
      <c r="E26">
        <v>5</v>
      </c>
      <c r="F26">
        <v>25.5</v>
      </c>
      <c r="G26">
        <f t="shared" si="0"/>
        <v>127.5</v>
      </c>
    </row>
    <row r="27" spans="1:7" x14ac:dyDescent="0.3">
      <c r="A27">
        <v>26</v>
      </c>
      <c r="B27">
        <v>15</v>
      </c>
      <c r="C27">
        <v>4</v>
      </c>
      <c r="D27" s="2">
        <v>46245</v>
      </c>
      <c r="E27">
        <v>900</v>
      </c>
      <c r="F27">
        <v>80</v>
      </c>
      <c r="G27">
        <f t="shared" si="0"/>
        <v>72000</v>
      </c>
    </row>
    <row r="28" spans="1:7" x14ac:dyDescent="0.3">
      <c r="A28">
        <v>27</v>
      </c>
      <c r="B28">
        <v>8</v>
      </c>
      <c r="C28">
        <v>2</v>
      </c>
      <c r="D28" s="2">
        <v>46245</v>
      </c>
      <c r="E28">
        <v>10</v>
      </c>
      <c r="F28">
        <v>4</v>
      </c>
      <c r="G28">
        <f t="shared" si="0"/>
        <v>40</v>
      </c>
    </row>
    <row r="29" spans="1:7" x14ac:dyDescent="0.3">
      <c r="A29">
        <v>28</v>
      </c>
      <c r="B29">
        <v>8</v>
      </c>
      <c r="C29">
        <v>4</v>
      </c>
      <c r="D29" s="2">
        <v>46245</v>
      </c>
      <c r="E29">
        <v>10</v>
      </c>
      <c r="F29">
        <v>4</v>
      </c>
      <c r="G29">
        <f t="shared" si="0"/>
        <v>40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83712-8B34-4BBC-93CE-4DC9FFD555DC}">
  <dimension ref="A1:G6"/>
  <sheetViews>
    <sheetView workbookViewId="0">
      <selection activeCell="H6" sqref="H6"/>
    </sheetView>
  </sheetViews>
  <sheetFormatPr defaultRowHeight="14.4" x14ac:dyDescent="0.3"/>
  <cols>
    <col min="5" max="5" width="6.44140625" bestFit="1" customWidth="1"/>
    <col min="6" max="6" width="9.33203125" bestFit="1" customWidth="1"/>
    <col min="7" max="7" width="14.77734375" bestFit="1" customWidth="1"/>
  </cols>
  <sheetData>
    <row r="1" spans="1:7" x14ac:dyDescent="0.3">
      <c r="A1" s="3" t="s">
        <v>35</v>
      </c>
      <c r="B1" s="3"/>
      <c r="C1" s="3"/>
      <c r="D1" s="3"/>
      <c r="E1" s="3"/>
      <c r="F1" s="3"/>
      <c r="G1" s="3"/>
    </row>
    <row r="2" spans="1:7" x14ac:dyDescent="0.3">
      <c r="A2" t="s">
        <v>0</v>
      </c>
      <c r="B2" t="s">
        <v>1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</row>
    <row r="3" spans="1:7" x14ac:dyDescent="0.3">
      <c r="A3">
        <v>1</v>
      </c>
      <c r="B3" t="s">
        <v>36</v>
      </c>
      <c r="C3" t="s">
        <v>38</v>
      </c>
      <c r="D3" t="s">
        <v>38</v>
      </c>
      <c r="E3" t="s">
        <v>39</v>
      </c>
      <c r="F3" t="s">
        <v>40</v>
      </c>
      <c r="G3" t="s">
        <v>41</v>
      </c>
    </row>
    <row r="4" spans="1:7" x14ac:dyDescent="0.3">
      <c r="A4">
        <v>2</v>
      </c>
      <c r="B4" t="s">
        <v>37</v>
      </c>
      <c r="C4" t="s">
        <v>38</v>
      </c>
      <c r="D4" t="s">
        <v>38</v>
      </c>
      <c r="E4" t="s">
        <v>39</v>
      </c>
      <c r="F4" t="s">
        <v>42</v>
      </c>
      <c r="G4" t="s">
        <v>43</v>
      </c>
    </row>
    <row r="5" spans="1:7" x14ac:dyDescent="0.3">
      <c r="A5">
        <v>3</v>
      </c>
      <c r="B5" t="s">
        <v>45</v>
      </c>
      <c r="C5" t="s">
        <v>46</v>
      </c>
      <c r="D5" t="s">
        <v>46</v>
      </c>
      <c r="E5" t="s">
        <v>39</v>
      </c>
      <c r="F5" t="s">
        <v>47</v>
      </c>
      <c r="G5" t="s">
        <v>48</v>
      </c>
    </row>
    <row r="6" spans="1:7" x14ac:dyDescent="0.3">
      <c r="A6">
        <v>4</v>
      </c>
      <c r="B6" t="s">
        <v>44</v>
      </c>
      <c r="C6" t="s">
        <v>49</v>
      </c>
      <c r="D6" t="s">
        <v>49</v>
      </c>
      <c r="E6" t="s">
        <v>39</v>
      </c>
      <c r="F6" t="s">
        <v>50</v>
      </c>
      <c r="G6" t="s">
        <v>51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254BD-1290-429D-80C0-C4DB59BDBF2D}">
  <dimension ref="A1:E22"/>
  <sheetViews>
    <sheetView tabSelected="1" workbookViewId="0">
      <selection activeCell="E7" sqref="E7"/>
    </sheetView>
  </sheetViews>
  <sheetFormatPr defaultRowHeight="14.4" x14ac:dyDescent="0.3"/>
  <cols>
    <col min="1" max="1" width="9.88671875" bestFit="1" customWidth="1"/>
    <col min="2" max="2" width="12.33203125" bestFit="1" customWidth="1"/>
    <col min="5" max="5" width="52.21875" bestFit="1" customWidth="1"/>
  </cols>
  <sheetData>
    <row r="1" spans="1:5" x14ac:dyDescent="0.3">
      <c r="A1" t="s">
        <v>57</v>
      </c>
      <c r="B1" t="s">
        <v>58</v>
      </c>
      <c r="C1" t="s">
        <v>59</v>
      </c>
      <c r="D1" t="s">
        <v>61</v>
      </c>
      <c r="E1" t="s">
        <v>2</v>
      </c>
    </row>
    <row r="2" spans="1:5" x14ac:dyDescent="0.3">
      <c r="A2" t="s">
        <v>60</v>
      </c>
      <c r="B2" t="s">
        <v>0</v>
      </c>
      <c r="C2" t="s">
        <v>62</v>
      </c>
      <c r="D2">
        <v>11</v>
      </c>
      <c r="E2" t="s">
        <v>65</v>
      </c>
    </row>
    <row r="3" spans="1:5" x14ac:dyDescent="0.3">
      <c r="A3" t="s">
        <v>60</v>
      </c>
      <c r="B3" t="s">
        <v>1</v>
      </c>
      <c r="C3" t="s">
        <v>63</v>
      </c>
      <c r="D3">
        <v>40</v>
      </c>
      <c r="E3" t="s">
        <v>66</v>
      </c>
    </row>
    <row r="4" spans="1:5" x14ac:dyDescent="0.3">
      <c r="A4" t="s">
        <v>60</v>
      </c>
      <c r="B4" t="s">
        <v>2</v>
      </c>
      <c r="C4" t="s">
        <v>63</v>
      </c>
      <c r="D4">
        <v>200</v>
      </c>
      <c r="E4" t="s">
        <v>67</v>
      </c>
    </row>
    <row r="5" spans="1:5" x14ac:dyDescent="0.3">
      <c r="A5" t="s">
        <v>60</v>
      </c>
      <c r="B5" t="s">
        <v>3</v>
      </c>
      <c r="C5" t="s">
        <v>64</v>
      </c>
      <c r="D5">
        <v>10.199999999999999</v>
      </c>
      <c r="E5" t="s">
        <v>68</v>
      </c>
    </row>
    <row r="6" spans="1:5" x14ac:dyDescent="0.3">
      <c r="A6" t="s">
        <v>60</v>
      </c>
      <c r="B6" t="s">
        <v>4</v>
      </c>
      <c r="C6" t="s">
        <v>64</v>
      </c>
      <c r="D6">
        <v>10.199999999999999</v>
      </c>
      <c r="E6" t="s">
        <v>69</v>
      </c>
    </row>
    <row r="7" spans="1:5" x14ac:dyDescent="0.3">
      <c r="A7" t="s">
        <v>60</v>
      </c>
      <c r="B7" t="s">
        <v>5</v>
      </c>
      <c r="C7" t="s">
        <v>64</v>
      </c>
      <c r="D7">
        <v>10.199999999999999</v>
      </c>
      <c r="E7" t="s">
        <v>70</v>
      </c>
    </row>
    <row r="8" spans="1:5" x14ac:dyDescent="0.3">
      <c r="A8" t="s">
        <v>60</v>
      </c>
      <c r="B8" t="s">
        <v>6</v>
      </c>
      <c r="C8" t="s">
        <v>62</v>
      </c>
      <c r="D8">
        <v>11</v>
      </c>
      <c r="E8" t="s">
        <v>71</v>
      </c>
    </row>
    <row r="9" spans="1:5" x14ac:dyDescent="0.3">
      <c r="A9" t="s">
        <v>72</v>
      </c>
      <c r="B9" t="s">
        <v>0</v>
      </c>
      <c r="C9" t="s">
        <v>63</v>
      </c>
      <c r="D9">
        <v>11</v>
      </c>
      <c r="E9" t="s">
        <v>65</v>
      </c>
    </row>
    <row r="10" spans="1:5" x14ac:dyDescent="0.3">
      <c r="A10" t="s">
        <v>72</v>
      </c>
      <c r="B10" t="s">
        <v>1</v>
      </c>
      <c r="C10" t="s">
        <v>63</v>
      </c>
      <c r="D10">
        <v>40</v>
      </c>
      <c r="E10" t="s">
        <v>88</v>
      </c>
    </row>
    <row r="11" spans="1:5" x14ac:dyDescent="0.3">
      <c r="A11" t="s">
        <v>72</v>
      </c>
      <c r="B11" t="s">
        <v>30</v>
      </c>
      <c r="C11" t="s">
        <v>63</v>
      </c>
      <c r="D11">
        <v>40</v>
      </c>
      <c r="E11" t="s">
        <v>84</v>
      </c>
    </row>
    <row r="12" spans="1:5" x14ac:dyDescent="0.3">
      <c r="A12" t="s">
        <v>72</v>
      </c>
      <c r="B12" t="s">
        <v>31</v>
      </c>
      <c r="C12" t="s">
        <v>63</v>
      </c>
      <c r="D12">
        <v>40</v>
      </c>
      <c r="E12" t="s">
        <v>85</v>
      </c>
    </row>
    <row r="13" spans="1:5" x14ac:dyDescent="0.3">
      <c r="A13" t="s">
        <v>72</v>
      </c>
      <c r="B13" t="s">
        <v>32</v>
      </c>
      <c r="C13" t="s">
        <v>63</v>
      </c>
      <c r="D13">
        <v>40</v>
      </c>
      <c r="E13" t="s">
        <v>86</v>
      </c>
    </row>
    <row r="14" spans="1:5" x14ac:dyDescent="0.3">
      <c r="A14" t="s">
        <v>72</v>
      </c>
      <c r="B14" t="s">
        <v>75</v>
      </c>
      <c r="C14" t="s">
        <v>63</v>
      </c>
      <c r="D14">
        <v>40</v>
      </c>
      <c r="E14" t="s">
        <v>87</v>
      </c>
    </row>
    <row r="15" spans="1:5" x14ac:dyDescent="0.3">
      <c r="A15" t="s">
        <v>72</v>
      </c>
      <c r="B15" t="s">
        <v>34</v>
      </c>
      <c r="C15" t="s">
        <v>63</v>
      </c>
      <c r="D15">
        <v>200</v>
      </c>
      <c r="E15" t="s">
        <v>74</v>
      </c>
    </row>
    <row r="16" spans="1:5" x14ac:dyDescent="0.3">
      <c r="A16" t="s">
        <v>73</v>
      </c>
      <c r="B16" t="s">
        <v>0</v>
      </c>
      <c r="C16" t="s">
        <v>62</v>
      </c>
      <c r="D16">
        <v>11</v>
      </c>
      <c r="E16" t="s">
        <v>65</v>
      </c>
    </row>
    <row r="17" spans="1:5" x14ac:dyDescent="0.3">
      <c r="A17" t="s">
        <v>73</v>
      </c>
      <c r="B17" t="s">
        <v>52</v>
      </c>
      <c r="C17" t="s">
        <v>62</v>
      </c>
      <c r="D17">
        <v>11</v>
      </c>
      <c r="E17" t="s">
        <v>78</v>
      </c>
    </row>
    <row r="18" spans="1:5" x14ac:dyDescent="0.3">
      <c r="A18" t="s">
        <v>73</v>
      </c>
      <c r="B18" t="s">
        <v>53</v>
      </c>
      <c r="C18" t="s">
        <v>62</v>
      </c>
      <c r="D18">
        <v>11</v>
      </c>
      <c r="E18" t="s">
        <v>79</v>
      </c>
    </row>
    <row r="19" spans="1:5" x14ac:dyDescent="0.3">
      <c r="A19" t="s">
        <v>73</v>
      </c>
      <c r="B19" t="s">
        <v>54</v>
      </c>
      <c r="C19" t="s">
        <v>77</v>
      </c>
      <c r="E19" t="s">
        <v>80</v>
      </c>
    </row>
    <row r="20" spans="1:5" x14ac:dyDescent="0.3">
      <c r="A20" t="s">
        <v>73</v>
      </c>
      <c r="B20" t="s">
        <v>6</v>
      </c>
      <c r="C20" t="s">
        <v>62</v>
      </c>
      <c r="D20">
        <v>11</v>
      </c>
      <c r="E20" t="s">
        <v>81</v>
      </c>
    </row>
    <row r="21" spans="1:5" x14ac:dyDescent="0.3">
      <c r="A21" t="s">
        <v>73</v>
      </c>
      <c r="B21" t="s">
        <v>76</v>
      </c>
      <c r="C21" t="s">
        <v>64</v>
      </c>
      <c r="D21">
        <v>10.199999999999999</v>
      </c>
      <c r="E21" t="s">
        <v>82</v>
      </c>
    </row>
    <row r="22" spans="1:5" x14ac:dyDescent="0.3">
      <c r="A22" t="s">
        <v>73</v>
      </c>
      <c r="B22" t="s">
        <v>56</v>
      </c>
      <c r="C22" t="s">
        <v>64</v>
      </c>
      <c r="D22">
        <v>10.199999999999999</v>
      </c>
      <c r="E22" t="s">
        <v>83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Produtos</vt:lpstr>
      <vt:lpstr>Compras</vt:lpstr>
      <vt:lpstr>Fornecedor</vt:lpstr>
      <vt:lpstr>Dicionário de 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Virim Vitim</dc:creator>
  <cp:lastModifiedBy>Virim Vitim</cp:lastModifiedBy>
  <dcterms:created xsi:type="dcterms:W3CDTF">2026-08-11T12:00:20Z</dcterms:created>
  <dcterms:modified xsi:type="dcterms:W3CDTF">2026-08-18T14:50:29Z</dcterms:modified>
</cp:coreProperties>
</file>