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 Parisato\Desktop\Aulas Segundo Semestre\BD\aula_02\bd_mer_der_aula02\"/>
    </mc:Choice>
  </mc:AlternateContent>
  <xr:revisionPtr revIDLastSave="0" documentId="13_ncr:1_{0FE52EEB-D553-4A07-A77F-8B8F2ABAC447}" xr6:coauthVersionLast="47" xr6:coauthVersionMax="47" xr10:uidLastSave="{00000000-0000-0000-0000-000000000000}"/>
  <bookViews>
    <workbookView xWindow="-96" yWindow="0" windowWidth="10236" windowHeight="12336" activeTab="3" xr2:uid="{724BBE55-6670-4833-B669-B7D8D925D393}"/>
  </bookViews>
  <sheets>
    <sheet name="Motoristas" sheetId="2" r:id="rId1"/>
    <sheet name="Corridas" sheetId="4" r:id="rId2"/>
    <sheet name="Rotas" sheetId="3" r:id="rId3"/>
    <sheet name="Dicionário de Dado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2" i="4"/>
  <c r="D11" i="4"/>
  <c r="D10" i="4"/>
  <c r="D9" i="4"/>
  <c r="D8" i="4"/>
  <c r="D7" i="4"/>
  <c r="D6" i="4"/>
  <c r="D3" i="4"/>
  <c r="D4" i="4"/>
  <c r="D5" i="4"/>
  <c r="D2" i="4"/>
</calcChain>
</file>

<file path=xl/sharedStrings.xml><?xml version="1.0" encoding="utf-8"?>
<sst xmlns="http://schemas.openxmlformats.org/spreadsheetml/2006/main" count="138" uniqueCount="70">
  <si>
    <t>id</t>
  </si>
  <si>
    <t>nome</t>
  </si>
  <si>
    <t>distancia</t>
  </si>
  <si>
    <t>Juberto Menendes</t>
  </si>
  <si>
    <t>Remi Mal da Silva</t>
  </si>
  <si>
    <t>Felipe Augustus</t>
  </si>
  <si>
    <t>Guilherme Maurício</t>
  </si>
  <si>
    <t>Bruno Barros</t>
  </si>
  <si>
    <t>Gabriel Arrodes</t>
  </si>
  <si>
    <t>número_de_corridas</t>
  </si>
  <si>
    <t>avaliação_em_estrelas</t>
  </si>
  <si>
    <t>condição</t>
  </si>
  <si>
    <t>recomendação</t>
  </si>
  <si>
    <t>Interditada</t>
  </si>
  <si>
    <t>Obstruida</t>
  </si>
  <si>
    <t>Operante</t>
  </si>
  <si>
    <t>Necessita de Manutenção</t>
  </si>
  <si>
    <t>velocidade_em_KM/h</t>
  </si>
  <si>
    <t>não escolha</t>
  </si>
  <si>
    <t>escolha apenas se tiver tempo</t>
  </si>
  <si>
    <t>melhor escolha</t>
  </si>
  <si>
    <t>boa escolha</t>
  </si>
  <si>
    <t>escolha se possuir um carro resistente</t>
  </si>
  <si>
    <t>id_motoristas</t>
  </si>
  <si>
    <t>id_rotas</t>
  </si>
  <si>
    <t>tempo_decorrido</t>
  </si>
  <si>
    <t>destino</t>
  </si>
  <si>
    <t>valor</t>
  </si>
  <si>
    <t>partida</t>
  </si>
  <si>
    <t>tamanho_do_percuros</t>
  </si>
  <si>
    <t>São Pereira</t>
  </si>
  <si>
    <t>São Viscenso</t>
  </si>
  <si>
    <t>Ouro Frio</t>
  </si>
  <si>
    <t>Divisa Nova</t>
  </si>
  <si>
    <t>Bom Repouso do Sul</t>
  </si>
  <si>
    <t>Riacho do Sol</t>
  </si>
  <si>
    <t>Morro Alto</t>
  </si>
  <si>
    <t>Monte do Alto Carvalho</t>
  </si>
  <si>
    <t>Adamantina</t>
  </si>
  <si>
    <t>Porto Esperança</t>
  </si>
  <si>
    <t>entidade</t>
  </si>
  <si>
    <t>atributo</t>
  </si>
  <si>
    <t>tipo</t>
  </si>
  <si>
    <t>tamanho</t>
  </si>
  <si>
    <t>descrição</t>
  </si>
  <si>
    <t>motoristas</t>
  </si>
  <si>
    <t>rotas</t>
  </si>
  <si>
    <t>distancia_em_quilometros</t>
  </si>
  <si>
    <t>corridas</t>
  </si>
  <si>
    <t>tamanho_do_percurso</t>
  </si>
  <si>
    <t>int</t>
  </si>
  <si>
    <t>decimal</t>
  </si>
  <si>
    <t>varchar</t>
  </si>
  <si>
    <t>chave primária</t>
  </si>
  <si>
    <t>chave estrangeira, referencia: Motoristas(id)</t>
  </si>
  <si>
    <t>chave estrangeira, referencia: Rotas(id)</t>
  </si>
  <si>
    <t>valor em reais</t>
  </si>
  <si>
    <t>quantidade de horas que a corrida levou</t>
  </si>
  <si>
    <t>velocidade do motorista durante a corrida</t>
  </si>
  <si>
    <t>recomendação para os motoristas sobre a rota</t>
  </si>
  <si>
    <t>números inteiros que representam a distancia em quilometros de cada rota</t>
  </si>
  <si>
    <t>descrição sobre a condição atual da rota</t>
  </si>
  <si>
    <t>quantidade de corridas realizadas por cada motorista</t>
  </si>
  <si>
    <t>nome do motorista</t>
  </si>
  <si>
    <t>numeros inteiros que representam a nota da corrida de 1-5</t>
  </si>
  <si>
    <t>local de partida da corrida</t>
  </si>
  <si>
    <t>local de destino da corrida</t>
  </si>
  <si>
    <t>números inteiros que representam a nota do motorista de 1-5</t>
  </si>
  <si>
    <t>números reais, que representam o tamanho do percurso em KM</t>
  </si>
  <si>
    <t>números que representam a distancia do motorista em 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</si>
</sst>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F64B-6B76-4B8B-A687-AD4F20977DDB}">
  <dimension ref="A1:E7"/>
  <sheetViews>
    <sheetView workbookViewId="0">
      <selection activeCell="D1" sqref="D1"/>
    </sheetView>
  </sheetViews>
  <sheetFormatPr defaultRowHeight="14.4" x14ac:dyDescent="0.3"/>
  <cols>
    <col min="2" max="2" width="16.88671875" bestFit="1" customWidth="1"/>
    <col min="3" max="3" width="19.44140625" bestFit="1" customWidth="1"/>
    <col min="5" max="5" width="17.6640625" bestFit="1" customWidth="1"/>
  </cols>
  <sheetData>
    <row r="1" spans="1:5" x14ac:dyDescent="0.3">
      <c r="A1" t="s">
        <v>0</v>
      </c>
      <c r="B1" t="s">
        <v>1</v>
      </c>
      <c r="C1" t="s">
        <v>10</v>
      </c>
      <c r="D1" t="s">
        <v>2</v>
      </c>
      <c r="E1" t="s">
        <v>9</v>
      </c>
    </row>
    <row r="2" spans="1:5" x14ac:dyDescent="0.3">
      <c r="A2">
        <v>1</v>
      </c>
      <c r="B2" t="s">
        <v>3</v>
      </c>
      <c r="C2" s="1">
        <v>4</v>
      </c>
      <c r="D2">
        <v>74000</v>
      </c>
      <c r="E2">
        <v>124</v>
      </c>
    </row>
    <row r="3" spans="1:5" x14ac:dyDescent="0.3">
      <c r="A3">
        <v>2</v>
      </c>
      <c r="B3" t="s">
        <v>4</v>
      </c>
      <c r="C3" s="1">
        <v>0.5</v>
      </c>
      <c r="D3">
        <v>5</v>
      </c>
      <c r="E3">
        <v>357</v>
      </c>
    </row>
    <row r="4" spans="1:5" x14ac:dyDescent="0.3">
      <c r="A4">
        <v>3</v>
      </c>
      <c r="B4" t="s">
        <v>5</v>
      </c>
      <c r="C4" s="1">
        <v>3</v>
      </c>
      <c r="D4">
        <v>200</v>
      </c>
      <c r="E4">
        <v>51</v>
      </c>
    </row>
    <row r="5" spans="1:5" x14ac:dyDescent="0.3">
      <c r="A5">
        <v>4</v>
      </c>
      <c r="B5" t="s">
        <v>6</v>
      </c>
      <c r="C5" s="1">
        <v>2</v>
      </c>
      <c r="D5">
        <v>1000</v>
      </c>
      <c r="E5">
        <v>26</v>
      </c>
    </row>
    <row r="6" spans="1:5" x14ac:dyDescent="0.3">
      <c r="A6">
        <v>5</v>
      </c>
      <c r="B6" t="s">
        <v>7</v>
      </c>
      <c r="C6" s="1">
        <v>0.1</v>
      </c>
      <c r="D6">
        <v>29030</v>
      </c>
      <c r="E6">
        <v>2</v>
      </c>
    </row>
    <row r="7" spans="1:5" x14ac:dyDescent="0.3">
      <c r="A7">
        <v>6</v>
      </c>
      <c r="B7" t="s">
        <v>8</v>
      </c>
      <c r="C7" s="1">
        <v>1</v>
      </c>
      <c r="D7">
        <v>970</v>
      </c>
      <c r="E7">
        <v>95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6C19-C4FA-484E-9E59-416ED2B1AA04}">
  <dimension ref="A1:I11"/>
  <sheetViews>
    <sheetView topLeftCell="E1" workbookViewId="0">
      <selection activeCell="H15" sqref="H15"/>
    </sheetView>
  </sheetViews>
  <sheetFormatPr defaultRowHeight="14.4" x14ac:dyDescent="0.3"/>
  <cols>
    <col min="2" max="2" width="11.77734375" bestFit="1" customWidth="1"/>
    <col min="4" max="4" width="14.77734375" bestFit="1" customWidth="1"/>
    <col min="5" max="5" width="19.44140625" bestFit="1" customWidth="1"/>
    <col min="6" max="6" width="11.88671875" bestFit="1" customWidth="1"/>
    <col min="7" max="8" width="19.44140625" bestFit="1" customWidth="1"/>
    <col min="9" max="9" width="19.109375" bestFit="1" customWidth="1"/>
  </cols>
  <sheetData>
    <row r="1" spans="1:9" x14ac:dyDescent="0.3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10</v>
      </c>
      <c r="H1" t="s">
        <v>28</v>
      </c>
      <c r="I1" t="s">
        <v>29</v>
      </c>
    </row>
    <row r="2" spans="1:9" x14ac:dyDescent="0.3">
      <c r="A2">
        <v>1</v>
      </c>
      <c r="B2">
        <v>5</v>
      </c>
      <c r="C2">
        <v>1</v>
      </c>
      <c r="D2" s="1">
        <f>I2 / 100</f>
        <v>1.9879999999999998E-2</v>
      </c>
      <c r="E2" t="s">
        <v>30</v>
      </c>
      <c r="F2" s="2">
        <f xml:space="preserve"> 50 + (2*D2)</f>
        <v>50.039760000000001</v>
      </c>
      <c r="G2">
        <v>1</v>
      </c>
      <c r="H2" t="s">
        <v>31</v>
      </c>
      <c r="I2" s="1">
        <v>1.988</v>
      </c>
    </row>
    <row r="3" spans="1:9" x14ac:dyDescent="0.3">
      <c r="A3">
        <v>2</v>
      </c>
      <c r="B3">
        <v>3</v>
      </c>
      <c r="C3">
        <v>2</v>
      </c>
      <c r="D3" s="1">
        <f xml:space="preserve"> I3 / 100</f>
        <v>0.05</v>
      </c>
      <c r="E3" t="s">
        <v>31</v>
      </c>
      <c r="F3" s="2">
        <f t="shared" ref="F3:F11" si="0" xml:space="preserve"> 50 + (2*D3)</f>
        <v>50.1</v>
      </c>
      <c r="G3">
        <v>5</v>
      </c>
      <c r="H3" t="s">
        <v>32</v>
      </c>
      <c r="I3" s="1">
        <v>5</v>
      </c>
    </row>
    <row r="4" spans="1:9" x14ac:dyDescent="0.3">
      <c r="A4">
        <v>3</v>
      </c>
      <c r="B4">
        <v>1</v>
      </c>
      <c r="C4">
        <v>3</v>
      </c>
      <c r="D4" s="1">
        <f xml:space="preserve"> I4 / 20</f>
        <v>0.5</v>
      </c>
      <c r="E4" t="s">
        <v>33</v>
      </c>
      <c r="F4" s="2">
        <f t="shared" si="0"/>
        <v>51</v>
      </c>
      <c r="G4">
        <v>5</v>
      </c>
      <c r="H4" t="s">
        <v>30</v>
      </c>
      <c r="I4" s="1">
        <v>10</v>
      </c>
    </row>
    <row r="5" spans="1:9" x14ac:dyDescent="0.3">
      <c r="A5">
        <v>4</v>
      </c>
      <c r="B5">
        <v>5</v>
      </c>
      <c r="C5">
        <v>6</v>
      </c>
      <c r="D5" s="1">
        <f xml:space="preserve"> I5 / 60</f>
        <v>0.23333333333333334</v>
      </c>
      <c r="E5" t="s">
        <v>30</v>
      </c>
      <c r="F5" s="2">
        <f t="shared" si="0"/>
        <v>50.466666666666669</v>
      </c>
      <c r="G5">
        <v>2</v>
      </c>
      <c r="H5" t="s">
        <v>34</v>
      </c>
      <c r="I5" s="1">
        <v>14</v>
      </c>
    </row>
    <row r="6" spans="1:9" x14ac:dyDescent="0.3">
      <c r="A6">
        <v>5</v>
      </c>
      <c r="B6">
        <v>3</v>
      </c>
      <c r="C6">
        <v>4</v>
      </c>
      <c r="D6" s="1">
        <f xml:space="preserve"> I6 / 80</f>
        <v>0.25</v>
      </c>
      <c r="E6" t="s">
        <v>35</v>
      </c>
      <c r="F6" s="2">
        <f t="shared" si="0"/>
        <v>50.5</v>
      </c>
      <c r="G6">
        <v>2</v>
      </c>
      <c r="H6" t="s">
        <v>38</v>
      </c>
      <c r="I6" s="1">
        <v>20</v>
      </c>
    </row>
    <row r="7" spans="1:9" x14ac:dyDescent="0.3">
      <c r="A7">
        <v>6</v>
      </c>
      <c r="B7">
        <v>2</v>
      </c>
      <c r="C7">
        <v>2</v>
      </c>
      <c r="D7" s="1">
        <f xml:space="preserve"> I7 / 100</f>
        <v>0.05</v>
      </c>
      <c r="E7" t="s">
        <v>36</v>
      </c>
      <c r="F7" s="2">
        <f t="shared" si="0"/>
        <v>50.1</v>
      </c>
      <c r="G7">
        <v>4</v>
      </c>
      <c r="H7" t="s">
        <v>37</v>
      </c>
      <c r="I7" s="1">
        <v>5</v>
      </c>
    </row>
    <row r="8" spans="1:9" x14ac:dyDescent="0.3">
      <c r="A8">
        <v>7</v>
      </c>
      <c r="B8">
        <v>1</v>
      </c>
      <c r="C8">
        <v>3</v>
      </c>
      <c r="D8" s="1">
        <f xml:space="preserve"> I8 / 20</f>
        <v>0.5</v>
      </c>
      <c r="E8" t="s">
        <v>37</v>
      </c>
      <c r="F8" s="2">
        <f t="shared" si="0"/>
        <v>51</v>
      </c>
      <c r="G8">
        <v>5</v>
      </c>
      <c r="H8" t="s">
        <v>38</v>
      </c>
      <c r="I8" s="1">
        <v>10</v>
      </c>
    </row>
    <row r="9" spans="1:9" x14ac:dyDescent="0.3">
      <c r="A9">
        <v>8</v>
      </c>
      <c r="B9">
        <v>6</v>
      </c>
      <c r="C9">
        <v>5</v>
      </c>
      <c r="D9" s="1">
        <f xml:space="preserve"> I9 / 75</f>
        <v>0.26666666666666666</v>
      </c>
      <c r="E9" t="s">
        <v>38</v>
      </c>
      <c r="F9" s="2">
        <f t="shared" si="0"/>
        <v>50.533333333333331</v>
      </c>
      <c r="G9">
        <v>2</v>
      </c>
      <c r="H9" t="s">
        <v>35</v>
      </c>
      <c r="I9" s="1">
        <v>20</v>
      </c>
    </row>
    <row r="10" spans="1:9" x14ac:dyDescent="0.3">
      <c r="A10">
        <v>9</v>
      </c>
      <c r="B10">
        <v>6</v>
      </c>
      <c r="C10">
        <v>1</v>
      </c>
      <c r="D10" s="1">
        <f xml:space="preserve"> I10 / 100</f>
        <v>0.19879999999999998</v>
      </c>
      <c r="E10" t="s">
        <v>39</v>
      </c>
      <c r="F10" s="2">
        <f t="shared" si="0"/>
        <v>50.397599999999997</v>
      </c>
      <c r="G10">
        <v>1</v>
      </c>
      <c r="H10" t="s">
        <v>33</v>
      </c>
      <c r="I10" s="1">
        <v>19.88</v>
      </c>
    </row>
    <row r="11" spans="1:9" x14ac:dyDescent="0.3">
      <c r="A11">
        <v>10</v>
      </c>
      <c r="B11">
        <v>1</v>
      </c>
      <c r="C11">
        <v>3</v>
      </c>
      <c r="D11" s="1">
        <f xml:space="preserve"> I11 / 20</f>
        <v>0.5</v>
      </c>
      <c r="E11" t="s">
        <v>30</v>
      </c>
      <c r="F11" s="2">
        <f t="shared" si="0"/>
        <v>51</v>
      </c>
      <c r="G11">
        <v>3</v>
      </c>
      <c r="H11" t="s">
        <v>38</v>
      </c>
      <c r="I11" s="1">
        <v>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D563-77C6-417D-84A4-733F331787CD}">
  <dimension ref="A1:E7"/>
  <sheetViews>
    <sheetView topLeftCell="B1" workbookViewId="0">
      <selection activeCell="C1" sqref="C1"/>
    </sheetView>
  </sheetViews>
  <sheetFormatPr defaultRowHeight="14.4" x14ac:dyDescent="0.3"/>
  <cols>
    <col min="2" max="2" width="22.109375" bestFit="1" customWidth="1"/>
    <col min="3" max="3" width="22.33203125" bestFit="1" customWidth="1"/>
    <col min="4" max="4" width="32.21875" bestFit="1" customWidth="1"/>
    <col min="5" max="5" width="18.109375" bestFit="1" customWidth="1"/>
  </cols>
  <sheetData>
    <row r="1" spans="1:5" x14ac:dyDescent="0.3">
      <c r="A1" t="s">
        <v>0</v>
      </c>
      <c r="B1" t="s">
        <v>11</v>
      </c>
      <c r="C1" t="s">
        <v>47</v>
      </c>
      <c r="D1" t="s">
        <v>12</v>
      </c>
      <c r="E1" t="s">
        <v>17</v>
      </c>
    </row>
    <row r="2" spans="1:5" x14ac:dyDescent="0.3">
      <c r="A2">
        <v>1</v>
      </c>
      <c r="B2" t="s">
        <v>13</v>
      </c>
      <c r="C2">
        <v>1988</v>
      </c>
      <c r="D2" t="s">
        <v>18</v>
      </c>
      <c r="E2">
        <v>100</v>
      </c>
    </row>
    <row r="3" spans="1:5" x14ac:dyDescent="0.3">
      <c r="A3">
        <v>2</v>
      </c>
      <c r="B3" t="s">
        <v>13</v>
      </c>
      <c r="C3">
        <v>5000</v>
      </c>
      <c r="D3" t="s">
        <v>18</v>
      </c>
      <c r="E3">
        <v>100</v>
      </c>
    </row>
    <row r="4" spans="1:5" x14ac:dyDescent="0.3">
      <c r="A4">
        <v>3</v>
      </c>
      <c r="B4" t="s">
        <v>14</v>
      </c>
      <c r="C4">
        <v>10000</v>
      </c>
      <c r="D4" t="s">
        <v>19</v>
      </c>
      <c r="E4">
        <v>20</v>
      </c>
    </row>
    <row r="5" spans="1:5" x14ac:dyDescent="0.3">
      <c r="A5">
        <v>4</v>
      </c>
      <c r="B5" t="s">
        <v>15</v>
      </c>
      <c r="C5">
        <v>20000</v>
      </c>
      <c r="D5" t="s">
        <v>20</v>
      </c>
      <c r="E5">
        <v>80</v>
      </c>
    </row>
    <row r="6" spans="1:5" x14ac:dyDescent="0.3">
      <c r="A6">
        <v>5</v>
      </c>
      <c r="B6" t="s">
        <v>15</v>
      </c>
      <c r="C6">
        <v>20000</v>
      </c>
      <c r="D6" t="s">
        <v>21</v>
      </c>
      <c r="E6">
        <v>75</v>
      </c>
    </row>
    <row r="7" spans="1:5" x14ac:dyDescent="0.3">
      <c r="A7">
        <v>6</v>
      </c>
      <c r="B7" t="s">
        <v>16</v>
      </c>
      <c r="C7">
        <v>14000</v>
      </c>
      <c r="D7" t="s">
        <v>22</v>
      </c>
      <c r="E7">
        <v>60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8C0D-396E-46BC-8DF8-184146F5F92E}">
  <dimension ref="A1:E20"/>
  <sheetViews>
    <sheetView tabSelected="1" workbookViewId="0">
      <selection activeCell="B15" sqref="B15"/>
    </sheetView>
  </sheetViews>
  <sheetFormatPr defaultRowHeight="14.4" x14ac:dyDescent="0.3"/>
  <cols>
    <col min="1" max="1" width="9.5546875" bestFit="1" customWidth="1"/>
    <col min="2" max="2" width="22.33203125" bestFit="1" customWidth="1"/>
    <col min="5" max="5" width="61.77734375" bestFit="1" customWidth="1"/>
  </cols>
  <sheetData>
    <row r="1" spans="1:5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</row>
    <row r="2" spans="1:5" x14ac:dyDescent="0.3">
      <c r="A2" t="s">
        <v>45</v>
      </c>
      <c r="B2" t="s">
        <v>0</v>
      </c>
      <c r="C2" t="s">
        <v>50</v>
      </c>
      <c r="D2">
        <v>11</v>
      </c>
      <c r="E2" t="s">
        <v>53</v>
      </c>
    </row>
    <row r="3" spans="1:5" x14ac:dyDescent="0.3">
      <c r="A3" t="s">
        <v>45</v>
      </c>
      <c r="B3" t="s">
        <v>1</v>
      </c>
      <c r="C3" t="s">
        <v>52</v>
      </c>
      <c r="D3">
        <v>50</v>
      </c>
      <c r="E3" t="s">
        <v>63</v>
      </c>
    </row>
    <row r="4" spans="1:5" x14ac:dyDescent="0.3">
      <c r="A4" t="s">
        <v>45</v>
      </c>
      <c r="B4" t="s">
        <v>10</v>
      </c>
      <c r="C4" t="s">
        <v>51</v>
      </c>
      <c r="D4">
        <v>10</v>
      </c>
      <c r="E4" t="s">
        <v>67</v>
      </c>
    </row>
    <row r="5" spans="1:5" x14ac:dyDescent="0.3">
      <c r="A5" t="s">
        <v>45</v>
      </c>
      <c r="B5" t="s">
        <v>2</v>
      </c>
      <c r="C5" t="s">
        <v>50</v>
      </c>
      <c r="D5">
        <v>25</v>
      </c>
      <c r="E5" t="s">
        <v>69</v>
      </c>
    </row>
    <row r="6" spans="1:5" x14ac:dyDescent="0.3">
      <c r="A6" t="s">
        <v>45</v>
      </c>
      <c r="B6" t="s">
        <v>9</v>
      </c>
      <c r="C6" t="s">
        <v>51</v>
      </c>
      <c r="D6">
        <v>20</v>
      </c>
      <c r="E6" t="s">
        <v>62</v>
      </c>
    </row>
    <row r="7" spans="1:5" x14ac:dyDescent="0.3">
      <c r="A7" t="s">
        <v>46</v>
      </c>
      <c r="B7" t="s">
        <v>0</v>
      </c>
      <c r="C7" t="s">
        <v>50</v>
      </c>
      <c r="D7">
        <v>11</v>
      </c>
      <c r="E7" t="s">
        <v>53</v>
      </c>
    </row>
    <row r="8" spans="1:5" x14ac:dyDescent="0.3">
      <c r="A8" t="s">
        <v>46</v>
      </c>
      <c r="B8" t="s">
        <v>11</v>
      </c>
      <c r="C8" t="s">
        <v>52</v>
      </c>
      <c r="D8">
        <v>100</v>
      </c>
      <c r="E8" t="s">
        <v>61</v>
      </c>
    </row>
    <row r="9" spans="1:5" x14ac:dyDescent="0.3">
      <c r="A9" t="s">
        <v>46</v>
      </c>
      <c r="B9" t="s">
        <v>47</v>
      </c>
      <c r="C9" t="s">
        <v>50</v>
      </c>
      <c r="D9">
        <v>40</v>
      </c>
      <c r="E9" t="s">
        <v>60</v>
      </c>
    </row>
    <row r="10" spans="1:5" x14ac:dyDescent="0.3">
      <c r="A10" t="s">
        <v>46</v>
      </c>
      <c r="B10" t="s">
        <v>12</v>
      </c>
      <c r="C10" t="s">
        <v>52</v>
      </c>
      <c r="D10">
        <v>100</v>
      </c>
      <c r="E10" t="s">
        <v>59</v>
      </c>
    </row>
    <row r="11" spans="1:5" x14ac:dyDescent="0.3">
      <c r="A11" t="s">
        <v>46</v>
      </c>
      <c r="B11" t="s">
        <v>17</v>
      </c>
      <c r="C11" t="s">
        <v>51</v>
      </c>
      <c r="D11">
        <v>30</v>
      </c>
      <c r="E11" t="s">
        <v>58</v>
      </c>
    </row>
    <row r="12" spans="1:5" x14ac:dyDescent="0.3">
      <c r="A12" t="s">
        <v>48</v>
      </c>
      <c r="B12" t="s">
        <v>0</v>
      </c>
      <c r="C12" t="s">
        <v>50</v>
      </c>
      <c r="D12">
        <v>11</v>
      </c>
      <c r="E12" t="s">
        <v>53</v>
      </c>
    </row>
    <row r="13" spans="1:5" x14ac:dyDescent="0.3">
      <c r="A13" t="s">
        <v>48</v>
      </c>
      <c r="B13" t="s">
        <v>23</v>
      </c>
      <c r="C13" t="s">
        <v>50</v>
      </c>
      <c r="D13">
        <v>11</v>
      </c>
      <c r="E13" t="s">
        <v>54</v>
      </c>
    </row>
    <row r="14" spans="1:5" x14ac:dyDescent="0.3">
      <c r="A14" t="s">
        <v>48</v>
      </c>
      <c r="B14" t="s">
        <v>24</v>
      </c>
      <c r="C14" t="s">
        <v>50</v>
      </c>
      <c r="D14">
        <v>11</v>
      </c>
      <c r="E14" t="s">
        <v>55</v>
      </c>
    </row>
    <row r="15" spans="1:5" x14ac:dyDescent="0.3">
      <c r="A15" t="s">
        <v>48</v>
      </c>
      <c r="B15" t="s">
        <v>25</v>
      </c>
      <c r="C15" t="s">
        <v>50</v>
      </c>
      <c r="D15">
        <v>40</v>
      </c>
      <c r="E15" t="s">
        <v>57</v>
      </c>
    </row>
    <row r="16" spans="1:5" x14ac:dyDescent="0.3">
      <c r="A16" t="s">
        <v>48</v>
      </c>
      <c r="B16" t="s">
        <v>26</v>
      </c>
      <c r="C16" t="s">
        <v>52</v>
      </c>
      <c r="D16">
        <v>50</v>
      </c>
      <c r="E16" t="s">
        <v>66</v>
      </c>
    </row>
    <row r="17" spans="1:5" x14ac:dyDescent="0.3">
      <c r="A17" t="s">
        <v>48</v>
      </c>
      <c r="B17" t="s">
        <v>27</v>
      </c>
      <c r="C17" t="s">
        <v>50</v>
      </c>
      <c r="D17">
        <v>30</v>
      </c>
      <c r="E17" t="s">
        <v>56</v>
      </c>
    </row>
    <row r="18" spans="1:5" x14ac:dyDescent="0.3">
      <c r="A18" t="s">
        <v>48</v>
      </c>
      <c r="B18" t="s">
        <v>10</v>
      </c>
      <c r="C18" t="s">
        <v>51</v>
      </c>
      <c r="D18">
        <v>10</v>
      </c>
      <c r="E18" t="s">
        <v>64</v>
      </c>
    </row>
    <row r="19" spans="1:5" x14ac:dyDescent="0.3">
      <c r="A19" t="s">
        <v>48</v>
      </c>
      <c r="B19" t="s">
        <v>28</v>
      </c>
      <c r="C19" t="s">
        <v>52</v>
      </c>
      <c r="D19">
        <v>50</v>
      </c>
      <c r="E19" t="s">
        <v>65</v>
      </c>
    </row>
    <row r="20" spans="1:5" x14ac:dyDescent="0.3">
      <c r="A20" t="s">
        <v>48</v>
      </c>
      <c r="B20" t="s">
        <v>49</v>
      </c>
      <c r="C20" t="s">
        <v>50</v>
      </c>
      <c r="D20">
        <v>30</v>
      </c>
      <c r="E20" t="s">
        <v>68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Motoristas</vt:lpstr>
      <vt:lpstr>Corridas</vt:lpstr>
      <vt:lpstr>Rotas</vt:lpstr>
      <vt:lpstr>Dicionário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Virim Vitim</dc:creator>
  <cp:lastModifiedBy>Virim Vitim</cp:lastModifiedBy>
  <dcterms:created xsi:type="dcterms:W3CDTF">2026-08-18T11:12:12Z</dcterms:created>
  <dcterms:modified xsi:type="dcterms:W3CDTF">2026-08-25T12:06:40Z</dcterms:modified>
</cp:coreProperties>
</file>